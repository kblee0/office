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me\proj\office\excel\"/>
    </mc:Choice>
  </mc:AlternateContent>
  <xr:revisionPtr revIDLastSave="0" documentId="13_ncr:1_{2220B4B8-CA10-4CDB-A852-61E5CA8AC973}" xr6:coauthVersionLast="47" xr6:coauthVersionMax="47" xr10:uidLastSave="{00000000-0000-0000-0000-000000000000}"/>
  <bookViews>
    <workbookView xWindow="-108" yWindow="-108" windowWidth="23256" windowHeight="13896" xr2:uid="{CD96B8B3-71E0-4BBA-8F24-951B051A1105}"/>
  </bookViews>
  <sheets>
    <sheet name="Sheet1" sheetId="1" r:id="rId1"/>
  </sheets>
  <definedNames>
    <definedName name="CEMP">_xlfn.LAMBDA(_xlpm.empid_or_name, _xlfn.IFNA(VLOOKUP(_xlpm.empid_or_name,emp[],2,FALSE),VLOOKUP(_xlpm.empid_or_name,_xlfn.CHOOSECOLS(emp[],2,1),2,FALSE)))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 a="1"/>
  <c r="J4" i="1" a="1"/>
  <c r="E5" i="1" a="1"/>
  <c r="E6" i="1" a="1"/>
  <c r="E7" i="1" a="1"/>
  <c r="E8" i="1" a="1"/>
  <c r="E4" i="1" a="1"/>
  <c r="D8" i="1" a="1"/>
  <c r="D7" i="1" a="1"/>
  <c r="D6" i="1" a="1"/>
  <c r="D5" i="1" a="1"/>
  <c r="D4" i="1" a="1"/>
  <c r="G8" i="1" a="1"/>
  <c r="G7" i="1" a="1"/>
  <c r="G6" i="1" a="1"/>
  <c r="G5" i="1" a="1"/>
  <c r="F8" i="1" a="1"/>
  <c r="F7" i="1" a="1"/>
  <c r="F6" i="1" a="1"/>
  <c r="F5" i="1" a="1"/>
  <c r="F4" i="1" a="1"/>
  <c r="G4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<sst xmlns="http://schemas.openxmlformats.org/spreadsheetml/2006/main" count="18" uniqueCount="16">
  <si>
    <t>#MM</t>
    <phoneticPr fontId="1" type="noConversion"/>
  </si>
  <si>
    <t>시작일</t>
    <phoneticPr fontId="1" type="noConversion"/>
  </si>
  <si>
    <t>종료일</t>
    <phoneticPr fontId="1" type="noConversion"/>
  </si>
  <si>
    <t>휴일</t>
    <phoneticPr fontId="1" type="noConversion"/>
  </si>
  <si>
    <t>기준월</t>
    <phoneticPr fontId="1" type="noConversion"/>
  </si>
  <si>
    <t>empno</t>
    <phoneticPr fontId="1" type="noConversion"/>
  </si>
  <si>
    <t>name</t>
    <phoneticPr fontId="1" type="noConversion"/>
  </si>
  <si>
    <t>홍길동2</t>
    <phoneticPr fontId="1" type="noConversion"/>
  </si>
  <si>
    <t>홍길동3</t>
    <phoneticPr fontId="1" type="noConversion"/>
  </si>
  <si>
    <t>이름</t>
    <phoneticPr fontId="1" type="noConversion"/>
  </si>
  <si>
    <t>사번</t>
    <phoneticPr fontId="1" type="noConversion"/>
  </si>
  <si>
    <t>CEMP</t>
    <phoneticPr fontId="1" type="noConversion"/>
  </si>
  <si>
    <t>MM.MONTH</t>
    <phoneticPr fontId="1" type="noConversion"/>
  </si>
  <si>
    <t>MM.PRD</t>
    <phoneticPr fontId="1" type="noConversion"/>
  </si>
  <si>
    <t>MM.NETPRD</t>
    <phoneticPr fontId="1" type="noConversion"/>
  </si>
  <si>
    <t>MM.NETMONTH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</si>
</sst>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0.00_);[Red]\(0.00\)"/>
  </numFmts>
  <fonts count="2" x14ac:knownFonts="1"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  <xf numFmtId="177" fontId="0" fillId="0" borderId="0" xfId="0" applyNumberFormat="1">
      <alignment vertical="center"/>
    </xf>
  </cellXfs>
  <cellStyles count="1">
    <cellStyle name="표준" xfId="0" builtinId="0"/>
  </cellStyles>
  <dxfs count="1">
    <dxf>
      <numFmt numFmtId="178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B57F70-6E4E-4B45-8DDC-8A337B5DC0EB}" name="dayoff" displayName="dayoff" ref="P3:P5" totalsRowShown="0">
  <autoFilter ref="P3:P5" xr:uid="{E8B57F70-6E4E-4B45-8DDC-8A337B5DC0EB}"/>
  <tableColumns count="1">
    <tableColumn id="1" xr3:uid="{06F2AD8A-039D-47A0-825A-56B7E98CB562}" name="휴일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E793BC-13B3-4011-A2EC-4CC16C2FDDF4}" name="emp" displayName="emp" ref="R3:S5" totalsRowShown="0">
  <autoFilter ref="R3:S5" xr:uid="{C7E793BC-13B3-4011-A2EC-4CC16C2FDDF4}"/>
  <tableColumns count="2">
    <tableColumn id="1" xr3:uid="{8D7E359E-2841-4DE2-8D25-93B1F96B6A0A}" name="empno"/>
    <tableColumn id="2" xr3:uid="{AE0A6F8E-1D71-43E1-B03B-79A6AEDF2A80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10E9-6F9C-4DD1-9C3D-3336F8A01A90}">
  <dimension ref="A2:S16"/>
  <sheetViews>
    <sheetView tabSelected="1" workbookViewId="0">
      <selection activeCell="I10" sqref="I10"/>
    </sheetView>
  </sheetViews>
  <sheetFormatPr defaultRowHeight="13.2" x14ac:dyDescent="0.3"/>
  <cols>
    <col min="1" max="3" width="11.125" bestFit="1" customWidth="1"/>
    <col min="4" max="5" width="11.125" customWidth="1"/>
    <col min="6" max="6" width="12.625" bestFit="1" customWidth="1"/>
    <col min="7" max="7" width="14.625" bestFit="1" customWidth="1"/>
    <col min="9" max="9" width="9.875" bestFit="1" customWidth="1"/>
    <col min="16" max="16" width="11.125" bestFit="1" customWidth="1"/>
    <col min="18" max="18" width="9.375" customWidth="1"/>
  </cols>
  <sheetData>
    <row r="2" spans="1:19" x14ac:dyDescent="0.3">
      <c r="A2" t="s">
        <v>0</v>
      </c>
    </row>
    <row r="3" spans="1:19" x14ac:dyDescent="0.3">
      <c r="A3" t="s">
        <v>1</v>
      </c>
      <c r="B3" t="s">
        <v>2</v>
      </c>
      <c r="C3" t="s">
        <v>4</v>
      </c>
      <c r="D3" t="s">
        <v>13</v>
      </c>
      <c r="E3" t="s">
        <v>14</v>
      </c>
      <c r="F3" t="s">
        <v>12</v>
      </c>
      <c r="G3" t="s">
        <v>15</v>
      </c>
      <c r="H3" t="s">
        <v>9</v>
      </c>
      <c r="I3" t="s">
        <v>10</v>
      </c>
      <c r="J3" t="s">
        <v>11</v>
      </c>
      <c r="K3" t="s">
        <v>11</v>
      </c>
      <c r="P3" t="s">
        <v>3</v>
      </c>
      <c r="R3" t="s">
        <v>5</v>
      </c>
      <c r="S3" t="s">
        <v>6</v>
      </c>
    </row>
    <row r="4" spans="1:19" x14ac:dyDescent="0.3">
      <c r="A4" s="2">
        <v>45720</v>
      </c>
      <c r="B4" s="2">
        <v>45724</v>
      </c>
      <c r="C4" s="2">
        <v>45717</v>
      </c>
      <c r="D4" s="4" cm="1">
        <f t="array" ref="D4">_xlfn.LAMBDA(_xlpm.s,_xlpm.e,IF(OR(_xlpm.s="",_xlpm.e="",_xlpm.s&gt;_xlpm.e),0,ROUND(_xlfn.DAYS(MIN(_xlpm.e,EOMONTH(_xlpm.s,0))+1,_xlpm.s)/DAY(EOMONTH(_xlpm.s,0)),2)+IF(_xlpm.e&lt;=EOMONTH(_xlpm.s,0),0,ROUND(_xlfn.DAYS(_xlpm.e,EOMONTH(_xlpm.e,-1))/DAY(EOMONTH(_xlpm.e,0)),2))+IFERROR(DATEDIF(EOMONTH(_xlpm.s,0)+1,EOMONTH(_xlpm.e,-1)+1,"m"),0)))(A4,B4)</f>
        <v>0.16</v>
      </c>
      <c r="E4" s="4" cm="1">
        <f t="array" ref="E4">_xlfn.LAMBDA(_xlpm.s,_xlpm.e,IF(OR(_xlpm.s="",_xlpm.e="",_xlpm.s&gt;_xlpm.e),0,_xlfn.FLOOR.MATH(NETWORKDAYS(_xlpm.s,MIN(_xlpm.e,EOMONTH(_xlpm.s,0)),dayoff[])/NETWORKDAYS(EOMONTH(_xlpm.s,-1)+1,EOMONTH(_xlpm.s,0),dayoff[]),0.01)+IF(_xlpm.e&lt;=EOMONTH(_xlpm.s,0),0,_xlfn.FLOOR.MATH(NETWORKDAYS(EOMONTH(_xlpm.e,-1)+1,_xlpm.e,dayoff[])/NETWORKDAYS(EOMONTH(_xlpm.e,-1)+1,EOMONTH(_xlpm.e,0),dayoff[]),0.01))+IFERROR(DATEDIF(EOMONTH(_xlpm.s,0)+1,EOMONTH(_xlpm.e,-1)+1,"m"),0)))(A4,B4)</f>
        <v>0.19</v>
      </c>
      <c r="F4" s="3" cm="1">
        <f t="array" ref="F4">_xlfn.LAMBDA(_xlpm.m,_xlpm.s,_xlpm.e,IF(OR(_xlpm.e&lt;_xlpm.m,_xlpm.s&gt;EOMONTH(_xlpm.m,0),_xlpm.m="",_xlpm.s="",_xlpm.e=""),0,ROUND(_xlfn.DAYS(MIN(_xlpm.e,EOMONTH(_xlpm.m,0))+1,MAX(_xlpm.m,_xlpm.s))/DAY(EOMONTH(_xlpm.m,0)),2)))(C4,A4,B4)</f>
        <v>0.16</v>
      </c>
      <c r="G4" s="3" cm="1">
        <f t="array" ref="G4">_xlfn.LAMBDA(_xlpm.m,_xlpm.s,_xlpm.e,IF(OR(_xlpm.e&lt;_xlpm.m,_xlpm.s&gt;EOMONTH(_xlpm.m,0)),0,_xlfn.FLOOR.MATH(NETWORKDAYS(MAX(_xlpm.m,_xlpm.s),MIN(EOMONTH(_xlpm.m,0),_xlpm.e),dayoff[])/NETWORKDAYS(_xlpm.m,EOMONTH(_xlpm.m,0),dayoff[]),0.01)))(C4,A4,B4)</f>
        <v>0.19</v>
      </c>
      <c r="H4" s="1" t="s">
        <v>7</v>
      </c>
      <c r="I4">
        <v>2</v>
      </c>
      <c r="J4" s="3" cm="1">
        <f t="array" ref="J4">_xlfn.LAMBDA(_xlpm.empid_or_name, _xlfn.IFNA(VLOOKUP(_xlpm.empid_or_name,emp[],2,FALSE),VLOOKUP(_xlpm.empid_or_name,_xlfn.CHOOSECOLS(emp[],2,1),2,FALSE)))(H4)</f>
        <v>2</v>
      </c>
      <c r="K4" s="3" t="str" cm="1">
        <f t="array" ref="K4">_xlfn.LAMBDA(_xlpm.empid_or_name, _xlfn.IFNA(VLOOKUP(_xlpm.empid_or_name,emp[],2,FALSE),VLOOKUP(_xlpm.empid_or_name,_xlfn.CHOOSECOLS(emp[],2,1),2,FALSE)))(I4)</f>
        <v>홍길동2</v>
      </c>
      <c r="P4" s="2">
        <v>45717</v>
      </c>
      <c r="R4">
        <v>2</v>
      </c>
      <c r="S4" t="s">
        <v>7</v>
      </c>
    </row>
    <row r="5" spans="1:19" x14ac:dyDescent="0.3">
      <c r="A5" s="2">
        <v>45720</v>
      </c>
      <c r="B5" s="2">
        <v>45724</v>
      </c>
      <c r="C5" s="2">
        <v>45717</v>
      </c>
      <c r="D5" s="4" cm="1">
        <f t="array" ref="D5">_xlfn.LAMBDA(_xlpm.s,_xlpm.e,IF(OR(_xlpm.s="",_xlpm.e="",_xlpm.s&gt;_xlpm.e),0,ROUND(_xlfn.DAYS(MIN(_xlpm.e,EOMONTH(_xlpm.s,0))+1,_xlpm.s)/DAY(EOMONTH(_xlpm.s,0)),2)+IF(_xlpm.e&lt;=EOMONTH(_xlpm.s,0),0,ROUND(_xlfn.DAYS(_xlpm.e,EOMONTH(_xlpm.e,-1))/DAY(EOMONTH(_xlpm.e,0)),2))+IFERROR(DATEDIF(EOMONTH(_xlpm.s,0)+1,EOMONTH(_xlpm.e,-1)+1,"m"),0)))(A5,B5)</f>
        <v>0.16</v>
      </c>
      <c r="E5" s="4" cm="1">
        <f t="array" ref="E5">_xlfn.LAMBDA(_xlpm.s,_xlpm.e,IF(OR(_xlpm.s="",_xlpm.e="",_xlpm.s&gt;_xlpm.e),0,_xlfn.FLOOR.MATH(NETWORKDAYS(_xlpm.s,MIN(_xlpm.e,EOMONTH(_xlpm.s,0)),dayoff[])/NETWORKDAYS(EOMONTH(_xlpm.s,-1)+1,EOMONTH(_xlpm.s,0),dayoff[]),0.01)+IF(_xlpm.e&lt;=EOMONTH(_xlpm.s,0),0,_xlfn.FLOOR.MATH(NETWORKDAYS(EOMONTH(_xlpm.e,-1)+1,_xlpm.e,dayoff[])/NETWORKDAYS(EOMONTH(_xlpm.e,-1)+1,EOMONTH(_xlpm.e,0),dayoff[]),0.01))+IFERROR(DATEDIF(EOMONTH(_xlpm.s,0)+1,EOMONTH(_xlpm.e,-1)+1,"m"),0)))(A5,B5)</f>
        <v>0.19</v>
      </c>
      <c r="F5" s="3" cm="1">
        <f t="array" ref="F5">_xlfn.LAMBDA(_xlpm.m,_xlpm.s,_xlpm.e,IF(OR(_xlpm.e&lt;_xlpm.m,_xlpm.s&gt;EOMONTH(_xlpm.m,0),_xlpm.m="",_xlpm.s="",_xlpm.e=""),0,ROUND(_xlfn.DAYS(MIN(_xlpm.e,EOMONTH(_xlpm.m,0))+1,MAX(_xlpm.m,_xlpm.s))/DAY(EOMONTH(_xlpm.m,0)),2)))(C5,A5,B5)</f>
        <v>0.16</v>
      </c>
      <c r="G5" s="3" cm="1">
        <f t="array" ref="G5">_xlfn.LAMBDA(_xlpm.m,_xlpm.s,_xlpm.e,IF(OR(_xlpm.e&lt;_xlpm.m,_xlpm.s&gt;EOMONTH(_xlpm.m,0)),0,_xlfn.FLOOR.MATH(NETWORKDAYS(MAX(_xlpm.m,_xlpm.s),MIN(EOMONTH(_xlpm.m,0),_xlpm.e),dayoff[])/NETWORKDAYS(_xlpm.m,EOMONTH(_xlpm.m,0),dayoff[]),0.01)))(C5,A5,B5)</f>
        <v>0.19</v>
      </c>
      <c r="H5" s="1"/>
      <c r="I5" s="1"/>
      <c r="P5" s="2">
        <v>45931</v>
      </c>
      <c r="R5">
        <v>3</v>
      </c>
      <c r="S5" t="s">
        <v>8</v>
      </c>
    </row>
    <row r="6" spans="1:19" x14ac:dyDescent="0.3">
      <c r="A6" s="2">
        <v>45692</v>
      </c>
      <c r="B6" s="2">
        <v>45724</v>
      </c>
      <c r="C6" s="2">
        <v>45717</v>
      </c>
      <c r="D6" s="4" cm="1">
        <f t="array" ref="D6">_xlfn.LAMBDA(_xlpm.s,_xlpm.e,IF(OR(_xlpm.s="",_xlpm.e="",_xlpm.s&gt;_xlpm.e),0,ROUND(_xlfn.DAYS(MIN(_xlpm.e,EOMONTH(_xlpm.s,0))+1,_xlpm.s)/DAY(EOMONTH(_xlpm.s,0)),2)+IF(_xlpm.e&lt;=EOMONTH(_xlpm.s,0),0,ROUND(_xlfn.DAYS(_xlpm.e,EOMONTH(_xlpm.e,-1))/DAY(EOMONTH(_xlpm.e,0)),2))+IFERROR(DATEDIF(EOMONTH(_xlpm.s,0)+1,EOMONTH(_xlpm.e,-1)+1,"m"),0)))(A6,B6)</f>
        <v>1.1499999999999999</v>
      </c>
      <c r="E6" s="4" cm="1">
        <f t="array" ref="E6">_xlfn.LAMBDA(_xlpm.s,_xlpm.e,IF(OR(_xlpm.s="",_xlpm.e="",_xlpm.s&gt;_xlpm.e),0,_xlfn.FLOOR.MATH(NETWORKDAYS(_xlpm.s,MIN(_xlpm.e,EOMONTH(_xlpm.s,0)),dayoff[])/NETWORKDAYS(EOMONTH(_xlpm.s,-1)+1,EOMONTH(_xlpm.s,0),dayoff[]),0.01)+IF(_xlpm.e&lt;=EOMONTH(_xlpm.s,0),0,_xlfn.FLOOR.MATH(NETWORKDAYS(EOMONTH(_xlpm.e,-1)+1,_xlpm.e,dayoff[])/NETWORKDAYS(EOMONTH(_xlpm.e,-1)+1,EOMONTH(_xlpm.e,0),dayoff[]),0.01))+IFERROR(DATEDIF(EOMONTH(_xlpm.s,0)+1,EOMONTH(_xlpm.e,-1)+1,"m"),0)))(A6,B6)</f>
        <v>1.1800000000000002</v>
      </c>
      <c r="F6" s="3" cm="1">
        <f t="array" ref="F6">_xlfn.LAMBDA(_xlpm.m,_xlpm.s,_xlpm.e,IF(OR(_xlpm.e&lt;_xlpm.m,_xlpm.s&gt;EOMONTH(_xlpm.m,0),_xlpm.m="",_xlpm.s="",_xlpm.e=""),0,ROUND(_xlfn.DAYS(MIN(_xlpm.e,EOMONTH(_xlpm.m,0))+1,MAX(_xlpm.m,_xlpm.s))/DAY(EOMONTH(_xlpm.m,0)),2)))(C6,A6,B6)</f>
        <v>0.26</v>
      </c>
      <c r="G6" s="3" cm="1">
        <f t="array" ref="G6">_xlfn.LAMBDA(_xlpm.m,_xlpm.s,_xlpm.e,IF(OR(_xlpm.e&lt;_xlpm.m,_xlpm.s&gt;EOMONTH(_xlpm.m,0)),0,_xlfn.FLOOR.MATH(NETWORKDAYS(MAX(_xlpm.m,_xlpm.s),MIN(EOMONTH(_xlpm.m,0),_xlpm.e),dayoff[])/NETWORKDAYS(_xlpm.m,EOMONTH(_xlpm.m,0),dayoff[]),0.01)))(C6,A6,B6)</f>
        <v>0.23</v>
      </c>
      <c r="H6" s="1"/>
      <c r="I6" s="1"/>
    </row>
    <row r="7" spans="1:19" x14ac:dyDescent="0.3">
      <c r="A7" s="2">
        <v>45717</v>
      </c>
      <c r="B7" s="2">
        <v>45724</v>
      </c>
      <c r="C7" s="2">
        <v>45717</v>
      </c>
      <c r="D7" s="4" cm="1">
        <f t="array" ref="D7">_xlfn.LAMBDA(_xlpm.s,_xlpm.e,IF(OR(_xlpm.s="",_xlpm.e="",_xlpm.s&gt;_xlpm.e),0,ROUND(_xlfn.DAYS(MIN(_xlpm.e,EOMONTH(_xlpm.s,0))+1,_xlpm.s)/DAY(EOMONTH(_xlpm.s,0)),2)+IF(_xlpm.e&lt;=EOMONTH(_xlpm.s,0),0,ROUND(_xlfn.DAYS(_xlpm.e,EOMONTH(_xlpm.e,-1))/DAY(EOMONTH(_xlpm.e,0)),2))+IFERROR(DATEDIF(EOMONTH(_xlpm.s,0)+1,EOMONTH(_xlpm.e,-1)+1,"m"),0)))(A7,B7)</f>
        <v>0.26</v>
      </c>
      <c r="E7" s="4" cm="1">
        <f t="array" ref="E7">_xlfn.LAMBDA(_xlpm.s,_xlpm.e,IF(OR(_xlpm.s="",_xlpm.e="",_xlpm.s&gt;_xlpm.e),0,_xlfn.FLOOR.MATH(NETWORKDAYS(_xlpm.s,MIN(_xlpm.e,EOMONTH(_xlpm.s,0)),dayoff[])/NETWORKDAYS(EOMONTH(_xlpm.s,-1)+1,EOMONTH(_xlpm.s,0),dayoff[]),0.01)+IF(_xlpm.e&lt;=EOMONTH(_xlpm.s,0),0,_xlfn.FLOOR.MATH(NETWORKDAYS(EOMONTH(_xlpm.e,-1)+1,_xlpm.e,dayoff[])/NETWORKDAYS(EOMONTH(_xlpm.e,-1)+1,EOMONTH(_xlpm.e,0),dayoff[]),0.01))+IFERROR(DATEDIF(EOMONTH(_xlpm.s,0)+1,EOMONTH(_xlpm.e,-1)+1,"m"),0)))(A7,B7)</f>
        <v>0.23</v>
      </c>
      <c r="F7" s="3" cm="1">
        <f t="array" ref="F7">_xlfn.LAMBDA(_xlpm.m,_xlpm.s,_xlpm.e,IF(OR(_xlpm.e&lt;_xlpm.m,_xlpm.s&gt;EOMONTH(_xlpm.m,0),_xlpm.m="",_xlpm.s="",_xlpm.e=""),0,ROUND(_xlfn.DAYS(MIN(_xlpm.e,EOMONTH(_xlpm.m,0))+1,MAX(_xlpm.m,_xlpm.s))/DAY(EOMONTH(_xlpm.m,0)),2)))(C7,A7,B7)</f>
        <v>0.26</v>
      </c>
      <c r="G7" s="3" cm="1">
        <f t="array" ref="G7">_xlfn.LAMBDA(_xlpm.m,_xlpm.s,_xlpm.e,IF(OR(_xlpm.e&lt;_xlpm.m,_xlpm.s&gt;EOMONTH(_xlpm.m,0)),0,_xlfn.FLOOR.MATH(NETWORKDAYS(MAX(_xlpm.m,_xlpm.s),MIN(EOMONTH(_xlpm.m,0),_xlpm.e),dayoff[])/NETWORKDAYS(_xlpm.m,EOMONTH(_xlpm.m,0),dayoff[]),0.01)))(C7,A7,B7)</f>
        <v>0.23</v>
      </c>
      <c r="H7" s="1"/>
      <c r="I7" s="1"/>
    </row>
    <row r="8" spans="1:19" x14ac:dyDescent="0.3">
      <c r="A8" s="2">
        <v>45692</v>
      </c>
      <c r="B8" s="2">
        <v>45716</v>
      </c>
      <c r="C8" s="2">
        <v>45658</v>
      </c>
      <c r="D8" s="4" cm="1">
        <f t="array" ref="D8">_xlfn.LAMBDA(_xlpm.s,_xlpm.e,IF(OR(_xlpm.s="",_xlpm.e="",_xlpm.s&gt;_xlpm.e),0,ROUND(_xlfn.DAYS(MIN(_xlpm.e,EOMONTH(_xlpm.s,0))+1,_xlpm.s)/DAY(EOMONTH(_xlpm.s,0)),2)+IF(_xlpm.e&lt;=EOMONTH(_xlpm.s,0),0,ROUND(_xlfn.DAYS(_xlpm.e,EOMONTH(_xlpm.e,-1))/DAY(EOMONTH(_xlpm.e,0)),2))+IFERROR(DATEDIF(EOMONTH(_xlpm.s,0)+1,EOMONTH(_xlpm.e,-1)+1,"m"),0)))(A8,B8)</f>
        <v>0.89</v>
      </c>
      <c r="E8" s="4" cm="1">
        <f t="array" ref="E8">_xlfn.LAMBDA(_xlpm.s,_xlpm.e,IF(OR(_xlpm.s="",_xlpm.e="",_xlpm.s&gt;_xlpm.e),0,_xlfn.FLOOR.MATH(NETWORKDAYS(_xlpm.s,MIN(_xlpm.e,EOMONTH(_xlpm.s,0)),dayoff[])/NETWORKDAYS(EOMONTH(_xlpm.s,-1)+1,EOMONTH(_xlpm.s,0),dayoff[]),0.01)+IF(_xlpm.e&lt;=EOMONTH(_xlpm.s,0),0,_xlfn.FLOOR.MATH(NETWORKDAYS(EOMONTH(_xlpm.e,-1)+1,_xlpm.e,dayoff[])/NETWORKDAYS(EOMONTH(_xlpm.e,-1)+1,EOMONTH(_xlpm.e,0),dayoff[]),0.01))+IFERROR(DATEDIF(EOMONTH(_xlpm.s,0)+1,EOMONTH(_xlpm.e,-1)+1,"m"),0)))(A8,B8)</f>
        <v>0.95000000000000007</v>
      </c>
      <c r="F8" s="3" cm="1">
        <f t="array" ref="F8">_xlfn.LAMBDA(_xlpm.m,_xlpm.s,_xlpm.e,IF(OR(_xlpm.e&lt;_xlpm.m,_xlpm.s&gt;EOMONTH(_xlpm.m,0),_xlpm.m="",_xlpm.s="",_xlpm.e=""),0,ROUND(_xlfn.DAYS(MIN(_xlpm.e,EOMONTH(_xlpm.m,0))+1,MAX(_xlpm.m,_xlpm.s))/DAY(EOMONTH(_xlpm.m,0)),2)))(C8,A8,B8)</f>
        <v>0</v>
      </c>
      <c r="G8" s="3" cm="1">
        <f t="array" ref="G8">_xlfn.LAMBDA(_xlpm.m,_xlpm.s,_xlpm.e,IF(OR(_xlpm.e&lt;_xlpm.m,_xlpm.s&gt;EOMONTH(_xlpm.m,0)),0,_xlfn.FLOOR.MATH(NETWORKDAYS(MAX(_xlpm.m,_xlpm.s),MIN(EOMONTH(_xlpm.m,0),_xlpm.e),dayoff[])/NETWORKDAYS(_xlpm.m,EOMONTH(_xlpm.m,0),dayoff[]),0.01)))(C8,A8,B8)</f>
        <v>0</v>
      </c>
      <c r="H8" s="1"/>
      <c r="I8" s="1"/>
    </row>
    <row r="9" spans="1:19" x14ac:dyDescent="0.3">
      <c r="A9" s="2"/>
      <c r="B9" s="2"/>
      <c r="C9" s="2"/>
    </row>
    <row r="10" spans="1:19" x14ac:dyDescent="0.3">
      <c r="A10" s="2"/>
      <c r="B10" s="2"/>
      <c r="C10" s="2"/>
    </row>
    <row r="11" spans="1:19" x14ac:dyDescent="0.3">
      <c r="A11" s="2"/>
      <c r="B11" s="2"/>
      <c r="C11" s="2"/>
      <c r="E11" s="1"/>
      <c r="F11" s="1"/>
    </row>
    <row r="12" spans="1:19" x14ac:dyDescent="0.3">
      <c r="A12" s="2"/>
      <c r="B12" s="2"/>
      <c r="C12" s="2"/>
    </row>
    <row r="13" spans="1:19" x14ac:dyDescent="0.3">
      <c r="A13" s="2"/>
      <c r="B13" s="2"/>
      <c r="C13" s="2"/>
      <c r="F13" s="1"/>
    </row>
    <row r="14" spans="1:19" x14ac:dyDescent="0.3">
      <c r="A14" s="2"/>
      <c r="B14" s="2"/>
      <c r="C14" s="2"/>
    </row>
    <row r="15" spans="1:19" x14ac:dyDescent="0.3">
      <c r="A15" s="2"/>
      <c r="B15" s="2"/>
      <c r="C15" s="2"/>
    </row>
    <row r="16" spans="1:19" x14ac:dyDescent="0.3">
      <c r="A16" s="2"/>
      <c r="B16" s="2"/>
      <c r="C16" s="2"/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Kyeongbok Lee</dc:creator>
  <cp:lastModifiedBy>Kyeongbok Lee</cp:lastModifiedBy>
  <dcterms:created xsi:type="dcterms:W3CDTF">2024-10-05T06:32:20Z</dcterms:created>
  <dcterms:modified xsi:type="dcterms:W3CDTF">2026-07-08T08:18:06Z</dcterms:modified>
</cp:coreProperties>
</file>